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726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E:\GitRep\Simplus-Grid-Tool\"/>
    </mc:Choice>
  </mc:AlternateContent>
  <xr:revisionPtr revIDLastSave="0" documentId="13_ncr:1_{CD604A2E-DF47-4D30-BC12-FF935E584407}" xr6:coauthVersionLast="47" xr6:coauthVersionMax="47" xr10:uidLastSave="{00000000-0000-0000-0000-000000000000}"/>
  <bookViews>
    <workbookView xWindow="-110" yWindow="-110" windowWidth="38620" windowHeight="21100" activeTab="1" xr2:uid="{00000000-000D-0000-FFFF-FFFF00000000}"/>
  </bookViews>
  <sheets>
    <sheet name="Bus" sheetId="1" r:id="rId1"/>
    <sheet name="Apparatus" sheetId="3" r:id="rId2"/>
    <sheet name="NetworkLine_IEEE" sheetId="5" r:id="rId3"/>
    <sheet name="NetworkLine" sheetId="2" r:id="rId4"/>
    <sheet name="Basic" sheetId="4" r:id="rId5"/>
    <sheet name="Advance" sheetId="6" r:id="rId6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3" i="4" l="1"/>
</calcChain>
</file>

<file path=xl/sharedStrings.xml><?xml version="1.0" encoding="utf-8"?>
<sst xmlns="http://schemas.openxmlformats.org/spreadsheetml/2006/main" count="189" uniqueCount="130">
  <si>
    <t>R (pu)</t>
    <phoneticPr fontId="1" type="noConversion"/>
  </si>
  <si>
    <t>wL (pu)</t>
    <phoneticPr fontId="1" type="noConversion"/>
  </si>
  <si>
    <t>wC (pu)</t>
    <phoneticPr fontId="1" type="noConversion"/>
  </si>
  <si>
    <t>G (pu)</t>
    <phoneticPr fontId="1" type="noConversion"/>
  </si>
  <si>
    <t>Notes:</t>
    <phoneticPr fontId="1" type="noConversion"/>
  </si>
  <si>
    <t>The branches can be listed in arbitrary order.</t>
    <phoneticPr fontId="1" type="noConversion"/>
  </si>
  <si>
    <t>This sheet summarizes the parameters for network line impedance.</t>
    <phoneticPr fontId="1" type="noConversion"/>
  </si>
  <si>
    <t>This sheet summarizes the parameters for power flow analysis</t>
    <phoneticPr fontId="1" type="noConversion"/>
  </si>
  <si>
    <t>The buses and corresponding devices CAN be listed below in arbitrary order.</t>
    <phoneticPr fontId="1" type="noConversion"/>
  </si>
  <si>
    <t>Samping frequency (Hz)</t>
    <phoneticPr fontId="1" type="noConversion"/>
  </si>
  <si>
    <t>PGi and QGi are in generator convention. PLi and QLi are in load convention.</t>
    <phoneticPr fontId="1" type="noConversion"/>
  </si>
  <si>
    <t>Self branch HAS TO be GC.</t>
    <phoneticPr fontId="1" type="noConversion"/>
  </si>
  <si>
    <t>Mutual branch HAS TO be RL.</t>
    <phoneticPr fontId="1" type="noConversion"/>
  </si>
  <si>
    <t>For each bus, at least ONE and only ONE device can be connected.</t>
    <phoneticPr fontId="1" type="noConversion"/>
  </si>
  <si>
    <t>This sheet summarizes the parameters for network line impedance in IEEE form.</t>
    <phoneticPr fontId="1" type="noConversion"/>
  </si>
  <si>
    <t>Enable:</t>
    <phoneticPr fontId="1" type="noConversion"/>
  </si>
  <si>
    <t>1-Initial step, 2-Every step</t>
    <phoneticPr fontId="1" type="noConversion"/>
  </si>
  <si>
    <t>1-With virtual damping resistor, 2-Without virtual damping resistor</t>
    <phoneticPr fontId="1" type="noConversion"/>
  </si>
  <si>
    <t>This sheet summarizes basic settings</t>
    <phoneticPr fontId="1" type="noConversion"/>
  </si>
  <si>
    <t>PGi (pu)</t>
    <phoneticPr fontId="1" type="noConversion"/>
  </si>
  <si>
    <t>QGi (pu)</t>
    <phoneticPr fontId="1" type="noConversion"/>
  </si>
  <si>
    <t>PLi (pu)</t>
    <phoneticPr fontId="1" type="noConversion"/>
  </si>
  <si>
    <t>QLi (pu)</t>
    <phoneticPr fontId="1" type="noConversion"/>
  </si>
  <si>
    <t>Qmin (pu)</t>
    <phoneticPr fontId="1" type="noConversion"/>
  </si>
  <si>
    <t>Qmax (pu)</t>
    <phoneticPr fontId="1" type="noConversion"/>
  </si>
  <si>
    <t>Vsp (pu)</t>
    <phoneticPr fontId="1" type="noConversion"/>
  </si>
  <si>
    <t>0-No, 1-Yes</t>
    <phoneticPr fontId="1" type="noConversion"/>
  </si>
  <si>
    <t>0-Disable, 1-Enable</t>
    <phoneticPr fontId="1" type="noConversion"/>
  </si>
  <si>
    <t>This sheet summaries advanced settings.</t>
    <phoneticPr fontId="1" type="noConversion"/>
  </si>
  <si>
    <t>For using this sheet, please set enable from 0 to 1, then this sheet will over-write "NetworkLine"</t>
    <phoneticPr fontId="1" type="noConversion"/>
  </si>
  <si>
    <t>Enable (create simulink model)</t>
    <phoneticPr fontId="1" type="noConversion"/>
  </si>
  <si>
    <t>Enable (plot pole map)</t>
    <phoneticPr fontId="1" type="noConversion"/>
  </si>
  <si>
    <t>Enable (plot admittance)</t>
    <phoneticPr fontId="1" type="noConversion"/>
  </si>
  <si>
    <t>Enable (print output)</t>
    <phoneticPr fontId="1" type="noConversion"/>
  </si>
  <si>
    <t>Discretization damping flag</t>
    <phoneticPr fontId="1" type="noConversion"/>
  </si>
  <si>
    <t>Discretization method</t>
    <phoneticPr fontId="1" type="noConversion"/>
  </si>
  <si>
    <t>Linearization times</t>
    <phoneticPr fontId="1" type="noConversion"/>
  </si>
  <si>
    <t>Direct feedthrough</t>
    <phoneticPr fontId="1" type="noConversion"/>
  </si>
  <si>
    <t>Power flow algorithm</t>
    <phoneticPr fontId="1" type="noConversion"/>
  </si>
  <si>
    <t>Base frequency (Hz)</t>
    <phoneticPr fontId="1" type="noConversion"/>
  </si>
  <si>
    <t>Base power (VA)</t>
    <phoneticPr fontId="1" type="noConversion"/>
  </si>
  <si>
    <t>Base voltage (V)</t>
    <phoneticPr fontId="1" type="noConversion"/>
  </si>
  <si>
    <t>Turns ratio (pu)</t>
    <phoneticPr fontId="1" type="noConversion"/>
  </si>
  <si>
    <t>From bus</t>
    <phoneticPr fontId="1" type="noConversion"/>
  </si>
  <si>
    <t>To bus</t>
    <phoneticPr fontId="1" type="noConversion"/>
  </si>
  <si>
    <t>%===============================</t>
    <phoneticPr fontId="1" type="noConversion"/>
  </si>
  <si>
    <t>theta (rad)</t>
    <phoneticPr fontId="1" type="noConversion"/>
  </si>
  <si>
    <t>Item</t>
    <phoneticPr fontId="1" type="noConversion"/>
  </si>
  <si>
    <t>Value</t>
    <phoneticPr fontId="1" type="noConversion"/>
  </si>
  <si>
    <t>Notes</t>
    <phoneticPr fontId="1" type="noConversion"/>
  </si>
  <si>
    <t>1-Forward Eular, 2-Hybrid Euler-Trapezoidal</t>
    <phoneticPr fontId="1" type="noConversion"/>
  </si>
  <si>
    <t>The transformer is added between FromBus and branch.</t>
    <phoneticPr fontId="1" type="noConversion"/>
  </si>
  <si>
    <t>FromBus should NOT equal to ToBus in this list.</t>
    <phoneticPr fontId="1" type="noConversion"/>
  </si>
  <si>
    <t>The transformer is added by turn ratio, which is connected between FromBus and Zbranch in the layout.</t>
    <phoneticPr fontId="1" type="noConversion"/>
  </si>
  <si>
    <t>For active device (SG, VSI, etc), please use PGi and QGi. For load, please use PLi and QLi.</t>
    <phoneticPr fontId="1" type="noConversion"/>
  </si>
  <si>
    <t>Enable (participation)</t>
    <phoneticPr fontId="1" type="noConversion"/>
  </si>
  <si>
    <t>0-Disable, 1-Enable</t>
    <phoneticPr fontId="1" type="noConversion"/>
  </si>
  <si>
    <t>The branches can be listed in arbitrary order.</t>
    <phoneticPr fontId="1" type="noConversion"/>
  </si>
  <si>
    <t>User data:</t>
    <phoneticPr fontId="1" type="noConversion"/>
  </si>
  <si>
    <t>AC bus type: 1-slack bus, 2-PV bus, 3-PQ bus</t>
    <phoneticPr fontId="1" type="noConversion"/>
  </si>
  <si>
    <t>Bus No.</t>
    <phoneticPr fontId="1" type="noConversion"/>
  </si>
  <si>
    <t>Bus type</t>
    <phoneticPr fontId="1" type="noConversion"/>
  </si>
  <si>
    <t>Area type: 1-AC, 2-DC.</t>
    <phoneticPr fontId="1" type="noConversion"/>
  </si>
  <si>
    <t>AC or DC</t>
    <phoneticPr fontId="1" type="noConversion"/>
  </si>
  <si>
    <t>Area No.</t>
    <phoneticPr fontId="1" type="noConversion"/>
  </si>
  <si>
    <t>%===============================</t>
    <phoneticPr fontId="1" type="noConversion"/>
  </si>
  <si>
    <t>%%%</t>
    <phoneticPr fontId="1" type="noConversion"/>
  </si>
  <si>
    <t>1090: DC infinite bus (small-signal short-circuit)</t>
    <phoneticPr fontId="1" type="noConversion"/>
  </si>
  <si>
    <t>1010: fixed vdc</t>
    <phoneticPr fontId="1" type="noConversion"/>
  </si>
  <si>
    <t>1020-1029: Grid-forming buck converter</t>
    <phoneticPr fontId="1" type="noConversion"/>
  </si>
  <si>
    <t>% 0000-0100: AC device</t>
    <phoneticPr fontId="1" type="noConversion"/>
  </si>
  <si>
    <t>% 1000-1100: DC device</t>
    <phoneticPr fontId="1" type="noConversion"/>
  </si>
  <si>
    <t>% 2000-2100: Hybrid device</t>
    <phoneticPr fontId="1" type="noConversion"/>
  </si>
  <si>
    <t>1010-1019: Grid-feeding buck converter</t>
    <phoneticPr fontId="1" type="noConversion"/>
  </si>
  <si>
    <t>2000: power flow control (grid-feeding at both sides)</t>
    <phoneticPr fontId="1" type="noConversion"/>
  </si>
  <si>
    <t>2003: transfverter (grid-forming at both sides)</t>
    <phoneticPr fontId="1" type="noConversion"/>
  </si>
  <si>
    <t>20: fixed vdc</t>
    <phoneticPr fontId="1" type="noConversion"/>
  </si>
  <si>
    <t>2000-2009: AC-DC interlink converter</t>
    <phoneticPr fontId="1" type="noConversion"/>
  </si>
  <si>
    <t>DC bus type: 1-slack bus (V bus), 2-N/A, 3-P bus (I bus)</t>
    <phoneticPr fontId="1" type="noConversion"/>
  </si>
  <si>
    <t>2001: vdc control (grid-forming at dc side)</t>
    <phoneticPr fontId="1" type="noConversion"/>
  </si>
  <si>
    <t>2002: vac control (grid-forming at ac side)</t>
    <phoneticPr fontId="1" type="noConversion"/>
  </si>
  <si>
    <t>Notes:</t>
    <phoneticPr fontId="1" type="noConversion"/>
  </si>
  <si>
    <r>
      <t xml:space="preserve">1-Gauss-Seidel, </t>
    </r>
    <r>
      <rPr>
        <sz val="11"/>
        <color rgb="FF0070C0"/>
        <rFont val="Calibri"/>
        <family val="3"/>
        <charset val="134"/>
        <scheme val="minor"/>
      </rPr>
      <t>2-Newton-Raphson</t>
    </r>
    <phoneticPr fontId="1" type="noConversion"/>
  </si>
  <si>
    <t>The Newton-Raphson power flow method can be used for pure ac grids only.</t>
    <phoneticPr fontId="1" type="noConversion"/>
  </si>
  <si>
    <t>0: constant field flux, rotor motion of torque</t>
    <phoneticPr fontId="1" type="noConversion"/>
  </si>
  <si>
    <t>1: constant flux voltage, rotor motion of power</t>
    <phoneticPr fontId="1" type="noConversion"/>
  </si>
  <si>
    <t>The self branch can represent the passive load, which is equivalent to the load settings in bus.</t>
    <phoneticPr fontId="1" type="noConversion"/>
  </si>
  <si>
    <t>The passive load can also be added by using the "NetworkLine" sheet with setting Pli and Qli to zero here.</t>
    <phoneticPr fontId="1" type="noConversion"/>
  </si>
  <si>
    <t>The first bus of each area has to be the slack bus, i.e., type-1 bus.</t>
    <phoneticPr fontId="1" type="noConversion"/>
  </si>
  <si>
    <t>Apparatus type</t>
    <phoneticPr fontId="1" type="noConversion"/>
  </si>
  <si>
    <t>This sheet summarizes the apparatuses connected to buses.</t>
    <phoneticPr fontId="1" type="noConversion"/>
  </si>
  <si>
    <t>In this form, Ybranch = 1/(R+jwL)+(G+jwC), i.e., R and L are in series, G and C are in prallel, RL and GC are in parallel.</t>
    <phoneticPr fontId="1" type="noConversion"/>
  </si>
  <si>
    <t>In this form, a pi-circuit between two buses, i.e., series R+jwL impedance with parallel G/2+jwC/2 admittance between each bus and ground.</t>
    <phoneticPr fontId="1" type="noConversion"/>
  </si>
  <si>
    <t>1011: with vdc dynamics</t>
    <phoneticPr fontId="1" type="noConversion"/>
  </si>
  <si>
    <t>1020: fixed vdc</t>
    <phoneticPr fontId="1" type="noConversion"/>
  </si>
  <si>
    <t>BW vdc (Hz)</t>
  </si>
  <si>
    <t>BW idq (Hz)</t>
  </si>
  <si>
    <t>BW PLL (Hz)</t>
  </si>
  <si>
    <t>90: AC infinite bus (short circuit in small-signal)</t>
    <phoneticPr fontId="1" type="noConversion"/>
  </si>
  <si>
    <t>Sub-type</t>
    <phoneticPr fontId="1" type="noConversion"/>
  </si>
  <si>
    <t>Parameters</t>
    <phoneticPr fontId="1" type="noConversion"/>
  </si>
  <si>
    <t>[0]</t>
  </si>
  <si>
    <t>Apparatus type list:</t>
    <phoneticPr fontId="1" type="noConversion"/>
  </si>
  <si>
    <t>Vdc (pu)</t>
  </si>
  <si>
    <t>Cdc (pu)</t>
  </si>
  <si>
    <t>wL (pu)</t>
  </si>
  <si>
    <t>R (pu)</t>
  </si>
  <si>
    <t>J (pu)</t>
  </si>
  <si>
    <t>D (pu)</t>
  </si>
  <si>
    <t>20-29: Grid-forming inverter</t>
    <phoneticPr fontId="1" type="noConversion"/>
  </si>
  <si>
    <t>10-19: Grid-following inverter</t>
    <phoneticPr fontId="1" type="noConversion"/>
  </si>
  <si>
    <t>The available apparatuses are listed above. They are all active apparatuses. For adding passive load, pls use Pli and Qli in the "Bus" sheet.</t>
    <phoneticPr fontId="1" type="noConversion"/>
  </si>
  <si>
    <t>BW indicates bandwidth in the paramter list.</t>
    <phoneticPr fontId="1" type="noConversion"/>
  </si>
  <si>
    <r>
      <t xml:space="preserve">In the apparatus type list, the </t>
    </r>
    <r>
      <rPr>
        <sz val="11"/>
        <color rgb="FF0070C0"/>
        <rFont val="Calibri"/>
        <family val="3"/>
        <charset val="134"/>
        <scheme val="minor"/>
      </rPr>
      <t>blue</t>
    </r>
    <r>
      <rPr>
        <sz val="11"/>
        <color theme="1"/>
        <rFont val="Calibri"/>
        <family val="3"/>
        <charset val="134"/>
        <scheme val="minor"/>
      </rPr>
      <t xml:space="preserve"> highlighted apparatuses are not available currently but will be added soon.</t>
    </r>
    <phoneticPr fontId="1" type="noConversion"/>
  </si>
  <si>
    <t>Apparatus number, pls set this value first:</t>
    <phoneticPr fontId="1" type="noConversion"/>
  </si>
  <si>
    <t>0-9: Synchronous machine</t>
    <phoneticPr fontId="1" type="noConversion"/>
  </si>
  <si>
    <t>Please set the apparatus number first, apparatus type next. The table will show the default paramter values automatically. The sub-type is not useful at this stage.</t>
    <phoneticPr fontId="1" type="noConversion"/>
  </si>
  <si>
    <t>10: dc-side input is Pdc, i.e., constant power source</t>
    <phoneticPr fontId="1" type="noConversion"/>
  </si>
  <si>
    <t>11: fixed vdc, id_r = Pdc/vd, i.e., constant voltage source</t>
    <phoneticPr fontId="1" type="noConversion"/>
  </si>
  <si>
    <t>12: dc-side input is idc = Pdc/vdc_r, i.e., constant current source</t>
    <phoneticPr fontId="1" type="noConversion"/>
  </si>
  <si>
    <t>wLf (pu)</t>
  </si>
  <si>
    <t>Rf (pu)</t>
  </si>
  <si>
    <t>wCf (pu)</t>
  </si>
  <si>
    <t>wLc (pu)</t>
  </si>
  <si>
    <t>Rc (pu)</t>
  </si>
  <si>
    <t>Xov (pu)</t>
  </si>
  <si>
    <t>Droop Dw</t>
  </si>
  <si>
    <t>BW droop (Hz)</t>
  </si>
  <si>
    <t>BW vdq (Hz)</t>
  </si>
  <si>
    <t>inf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</si>
</sst>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_ "/>
    <numFmt numFmtId="165" formatCode="0.0000"/>
  </numFmts>
  <fonts count="11">
    <font>
      <sz val="11"/>
      <color theme="1"/>
      <name val="Calibri"/>
      <family val="2"/>
      <scheme val="minor"/>
    </font>
    <font>
      <sz val="9"/>
      <name val="Calibri"/>
      <family val="3"/>
      <charset val="134"/>
      <scheme val="minor"/>
    </font>
    <font>
      <b/>
      <sz val="11"/>
      <color theme="1"/>
      <name val="Calibri"/>
      <family val="3"/>
      <charset val="134"/>
      <scheme val="minor"/>
    </font>
    <font>
      <b/>
      <sz val="11"/>
      <name val="Calibri"/>
      <family val="3"/>
      <charset val="134"/>
      <scheme val="minor"/>
    </font>
    <font>
      <sz val="11"/>
      <color theme="1"/>
      <name val="Calibri"/>
      <family val="3"/>
      <charset val="134"/>
      <scheme val="minor"/>
    </font>
    <font>
      <sz val="11"/>
      <name val="Calibri"/>
      <family val="3"/>
      <charset val="134"/>
      <scheme val="minor"/>
    </font>
    <font>
      <sz val="11"/>
      <color rgb="FF0070C0"/>
      <name val="Calibri"/>
      <family val="3"/>
      <charset val="134"/>
      <scheme val="minor"/>
    </font>
    <font>
      <sz val="11"/>
      <color rgb="FF0070C0"/>
      <name val="Calibri"/>
      <family val="2"/>
      <scheme val="minor"/>
    </font>
    <font>
      <sz val="11"/>
      <name val="Calibri"/>
      <family val="2"/>
      <scheme val="minor"/>
    </font>
    <font>
      <b/>
      <sz val="11"/>
      <color rgb="FF0070C0"/>
      <name val="Calibri"/>
      <family val="3"/>
      <charset val="134"/>
      <scheme val="minor"/>
    </font>
    <font>
      <sz val="11"/>
      <color rgb="FFFF000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4">
    <xf numFmtId="0" fontId="0" fillId="0" borderId="0" xfId="0"/>
    <xf numFmtId="11" fontId="0" fillId="0" borderId="0" xfId="0" applyNumberFormat="1"/>
    <xf numFmtId="164" fontId="0" fillId="0" borderId="0" xfId="0" applyNumberFormat="1"/>
    <xf numFmtId="0" fontId="2" fillId="0" borderId="0" xfId="0" applyFont="1"/>
    <xf numFmtId="0" fontId="3" fillId="0" borderId="0" xfId="0" applyFont="1"/>
    <xf numFmtId="0" fontId="4" fillId="0" borderId="0" xfId="0" applyFont="1"/>
    <xf numFmtId="0" fontId="2" fillId="0" borderId="0" xfId="0" quotePrefix="1" applyFont="1"/>
    <xf numFmtId="0" fontId="5" fillId="0" borderId="0" xfId="0" applyFont="1"/>
    <xf numFmtId="22" fontId="2" fillId="0" borderId="0" xfId="0" quotePrefix="1" applyNumberFormat="1" applyFont="1"/>
    <xf numFmtId="46" fontId="4" fillId="0" borderId="0" xfId="0" quotePrefix="1" applyNumberFormat="1" applyFont="1"/>
    <xf numFmtId="46" fontId="6" fillId="0" borderId="0" xfId="0" quotePrefix="1" applyNumberFormat="1" applyFont="1"/>
    <xf numFmtId="0" fontId="7" fillId="0" borderId="0" xfId="0" applyFont="1"/>
    <xf numFmtId="0" fontId="5" fillId="0" borderId="0" xfId="0" applyFont="1" applyAlignment="1">
      <alignment wrapText="1"/>
    </xf>
    <xf numFmtId="0" fontId="8" fillId="0" borderId="0" xfId="0" applyFont="1"/>
    <xf numFmtId="22" fontId="6" fillId="0" borderId="0" xfId="0" quotePrefix="1" applyNumberFormat="1" applyFont="1"/>
    <xf numFmtId="0" fontId="0" fillId="0" borderId="0" xfId="0"/>
    <xf numFmtId="0" fontId="5" fillId="0" borderId="0" xfId="0" applyFont="1" applyFill="1"/>
    <xf numFmtId="0" fontId="9" fillId="0" borderId="0" xfId="0" applyFont="1"/>
    <xf numFmtId="0" fontId="4" fillId="2" borderId="0" xfId="0" applyFont="1" applyFill="1"/>
    <xf numFmtId="0" fontId="0" fillId="0" borderId="0" xfId="0"/>
    <xf numFmtId="0" fontId="10" fillId="0" borderId="0" xfId="0" applyFont="1"/>
    <xf numFmtId="165" fontId="0" fillId="0" borderId="0" xfId="0" applyNumberFormat="1"/>
    <xf numFmtId="0" fontId="0" fillId="0" borderId="0" xfId="0"/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L19"/>
  <sheetViews>
    <sheetView workbookViewId="0">
      <selection activeCell="O8" sqref="O8"/>
    </sheetView>
  </sheetViews>
  <sheetFormatPr defaultRowHeight="14.5"/>
  <cols>
    <col min="4" max="4" width="9.453125" customWidth="1"/>
    <col min="6" max="6" width="11" customWidth="1"/>
    <col min="9" max="9" width="10.7265625" customWidth="1"/>
    <col min="10" max="10" width="11.1796875" customWidth="1"/>
    <col min="11" max="11" width="10.1796875" customWidth="1"/>
    <col min="12" max="12" width="10.453125" customWidth="1"/>
  </cols>
  <sheetData>
    <row r="1" spans="1:12">
      <c r="A1" s="4" t="s">
        <v>7</v>
      </c>
    </row>
    <row r="2" spans="1:12">
      <c r="A2" s="4" t="s">
        <v>4</v>
      </c>
    </row>
    <row r="3" spans="1:12">
      <c r="A3" s="7" t="s">
        <v>62</v>
      </c>
    </row>
    <row r="4" spans="1:12">
      <c r="A4" t="s">
        <v>59</v>
      </c>
    </row>
    <row r="5" spans="1:12">
      <c r="A5" t="s">
        <v>78</v>
      </c>
    </row>
    <row r="6" spans="1:12">
      <c r="A6" t="s">
        <v>88</v>
      </c>
    </row>
    <row r="7" spans="1:12">
      <c r="A7" t="s">
        <v>10</v>
      </c>
    </row>
    <row r="8" spans="1:12">
      <c r="A8" t="s">
        <v>54</v>
      </c>
    </row>
    <row r="9" spans="1:12">
      <c r="A9" t="s">
        <v>87</v>
      </c>
    </row>
    <row r="10" spans="1:12">
      <c r="A10" s="4" t="s">
        <v>58</v>
      </c>
    </row>
    <row r="11" spans="1:12">
      <c r="A11" s="3" t="s">
        <v>60</v>
      </c>
      <c r="B11" s="3" t="s">
        <v>61</v>
      </c>
      <c r="C11" s="3" t="s">
        <v>25</v>
      </c>
      <c r="D11" s="3" t="s">
        <v>46</v>
      </c>
      <c r="E11" s="3" t="s">
        <v>19</v>
      </c>
      <c r="F11" s="3" t="s">
        <v>20</v>
      </c>
      <c r="G11" s="3" t="s">
        <v>21</v>
      </c>
      <c r="H11" s="3" t="s">
        <v>22</v>
      </c>
      <c r="I11" s="3" t="s">
        <v>23</v>
      </c>
      <c r="J11" s="3" t="s">
        <v>24</v>
      </c>
      <c r="K11" s="3" t="s">
        <v>64</v>
      </c>
      <c r="L11" s="3" t="s">
        <v>63</v>
      </c>
    </row>
    <row r="12" spans="1:12">
      <c r="A12" s="20">
        <v>1</v>
      </c>
      <c r="B12" s="13">
        <v>1</v>
      </c>
      <c r="C12" s="13">
        <v>0.96599999999999997</v>
      </c>
      <c r="D12" s="13">
        <v>0</v>
      </c>
      <c r="E12" s="13">
        <v>0</v>
      </c>
      <c r="F12" s="13">
        <v>0.95269999999999988</v>
      </c>
      <c r="G12" s="13">
        <v>6.048</v>
      </c>
      <c r="H12" s="13">
        <v>-0.19600000000000001</v>
      </c>
      <c r="I12" s="13">
        <v>-10</v>
      </c>
      <c r="J12" s="13">
        <v>10</v>
      </c>
      <c r="K12" s="13">
        <v>1</v>
      </c>
      <c r="L12" s="13">
        <v>1</v>
      </c>
    </row>
    <row r="13" spans="1:12">
      <c r="A13" s="13">
        <v>2</v>
      </c>
      <c r="B13" s="13">
        <v>3</v>
      </c>
      <c r="C13" s="13">
        <v>1.03</v>
      </c>
      <c r="D13" s="13">
        <v>0</v>
      </c>
      <c r="E13" s="13">
        <v>1.3320000000000003</v>
      </c>
      <c r="F13" s="13">
        <v>-0.2001</v>
      </c>
      <c r="G13" s="13">
        <v>0.6922999999999998</v>
      </c>
      <c r="H13" s="13">
        <v>-0.184</v>
      </c>
      <c r="I13" s="13">
        <v>-10</v>
      </c>
      <c r="J13" s="13">
        <v>10</v>
      </c>
      <c r="K13" s="13">
        <v>1</v>
      </c>
      <c r="L13" s="13">
        <v>1</v>
      </c>
    </row>
    <row r="14" spans="1:12">
      <c r="A14" s="13">
        <v>3</v>
      </c>
      <c r="B14" s="13">
        <v>3</v>
      </c>
      <c r="C14" s="13">
        <v>1.0289999999999999</v>
      </c>
      <c r="D14" s="13">
        <v>0</v>
      </c>
      <c r="E14" s="13">
        <v>1.54</v>
      </c>
      <c r="F14" s="13">
        <v>-0.44650000000000001</v>
      </c>
      <c r="G14" s="13">
        <v>0.68820000000000003</v>
      </c>
      <c r="H14" s="13">
        <v>-0.23500000000000001</v>
      </c>
      <c r="I14" s="13">
        <v>-10</v>
      </c>
      <c r="J14" s="13">
        <v>10</v>
      </c>
      <c r="K14" s="13">
        <v>1</v>
      </c>
      <c r="L14" s="13">
        <v>1</v>
      </c>
    </row>
    <row r="15" spans="1:12">
      <c r="A15" s="13">
        <v>4</v>
      </c>
      <c r="B15" s="13">
        <v>2</v>
      </c>
      <c r="C15" s="13">
        <v>1.0389999999999999</v>
      </c>
      <c r="D15" s="13">
        <v>0</v>
      </c>
      <c r="E15" s="13">
        <v>6.5</v>
      </c>
      <c r="F15" s="13">
        <v>1.9585999999999999</v>
      </c>
      <c r="G15" s="13">
        <v>6.2600000000000003E-2</v>
      </c>
      <c r="H15" s="13">
        <v>2.4300000000000002E-2</v>
      </c>
      <c r="I15" s="13">
        <v>-10</v>
      </c>
      <c r="J15" s="13">
        <v>10</v>
      </c>
      <c r="K15" s="13">
        <v>1</v>
      </c>
      <c r="L15" s="13">
        <v>1</v>
      </c>
    </row>
    <row r="16" spans="1:12">
      <c r="A16" s="13">
        <v>5</v>
      </c>
      <c r="B16" s="13">
        <v>3</v>
      </c>
      <c r="C16" s="13">
        <v>0.998</v>
      </c>
      <c r="D16" s="13">
        <v>0</v>
      </c>
      <c r="E16" s="13">
        <v>0</v>
      </c>
      <c r="F16" s="13">
        <v>0</v>
      </c>
      <c r="G16" s="13">
        <v>0.8458</v>
      </c>
      <c r="H16" s="13">
        <v>-9.1999999999999998E-3</v>
      </c>
      <c r="I16" s="13">
        <v>0</v>
      </c>
      <c r="J16" s="13">
        <v>0</v>
      </c>
      <c r="K16" s="13">
        <v>1</v>
      </c>
      <c r="L16" s="13">
        <v>1</v>
      </c>
    </row>
    <row r="17" spans="1:12">
      <c r="A17" s="13">
        <v>6</v>
      </c>
      <c r="B17" s="13">
        <v>3</v>
      </c>
      <c r="C17" s="13">
        <v>0.98899999999999999</v>
      </c>
      <c r="D17" s="13">
        <v>0</v>
      </c>
      <c r="E17" s="13">
        <v>4.8999999999999998E-3</v>
      </c>
      <c r="F17" s="13">
        <v>0</v>
      </c>
      <c r="G17" s="13">
        <v>0</v>
      </c>
      <c r="H17" s="13">
        <v>7.9799999999999996E-2</v>
      </c>
      <c r="I17" s="13">
        <v>0</v>
      </c>
      <c r="J17" s="13">
        <v>0</v>
      </c>
      <c r="K17" s="13">
        <v>1</v>
      </c>
      <c r="L17" s="13">
        <v>1</v>
      </c>
    </row>
    <row r="18" spans="1:12">
      <c r="A18" s="20">
        <v>7</v>
      </c>
      <c r="B18" s="13">
        <v>3</v>
      </c>
      <c r="C18" s="13">
        <v>1.03</v>
      </c>
      <c r="D18" s="13">
        <v>0</v>
      </c>
      <c r="E18" s="13">
        <v>1.6580000000000001</v>
      </c>
      <c r="F18" s="13">
        <v>-0.41200000000000003</v>
      </c>
      <c r="G18" s="13">
        <v>2.4050000000000002</v>
      </c>
      <c r="H18" s="13">
        <v>-0.46700000000000008</v>
      </c>
      <c r="I18" s="13">
        <v>-10</v>
      </c>
      <c r="J18" s="13">
        <v>10</v>
      </c>
      <c r="K18" s="13">
        <v>1</v>
      </c>
      <c r="L18" s="13">
        <v>1</v>
      </c>
    </row>
    <row r="19" spans="1:12">
      <c r="A19" s="20"/>
      <c r="B19" s="20"/>
      <c r="C19" s="20"/>
      <c r="D19" s="20"/>
      <c r="E19" s="20"/>
      <c r="F19" s="20"/>
      <c r="G19" s="20"/>
      <c r="H19" s="20"/>
      <c r="I19" s="20"/>
      <c r="J19" s="20"/>
      <c r="K19" s="20"/>
      <c r="L19" s="20"/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645F5B-1D7A-4323-9AD6-5FF81941CA24}">
  <sheetPr codeName="Sheet2"/>
  <dimension ref="A1:M49"/>
  <sheetViews>
    <sheetView tabSelected="1" topLeftCell="A26" zoomScale="160" zoomScaleNormal="160" workbookViewId="0">
      <selection activeCell="H44" sqref="H44"/>
    </sheetView>
  </sheetViews>
  <sheetFormatPr defaultRowHeight="14.5"/>
  <cols>
    <col min="1" max="1" width="9.81640625" customWidth="1"/>
    <col min="2" max="25" width="13.54296875" customWidth="1"/>
  </cols>
  <sheetData>
    <row r="1" spans="1:13">
      <c r="A1" s="3" t="s">
        <v>90</v>
      </c>
    </row>
    <row r="2" spans="1:13">
      <c r="A2" s="3" t="s">
        <v>102</v>
      </c>
    </row>
    <row r="3" spans="1:13">
      <c r="B3" s="6" t="s">
        <v>45</v>
      </c>
      <c r="C3" s="3"/>
    </row>
    <row r="4" spans="1:13">
      <c r="B4" s="6" t="s">
        <v>70</v>
      </c>
      <c r="C4" s="3"/>
    </row>
    <row r="5" spans="1:13">
      <c r="B5" s="6" t="s">
        <v>45</v>
      </c>
      <c r="C5" s="3"/>
    </row>
    <row r="6" spans="1:13">
      <c r="B6" s="3" t="s">
        <v>115</v>
      </c>
      <c r="F6" s="3" t="s">
        <v>110</v>
      </c>
      <c r="J6" s="3" t="s">
        <v>109</v>
      </c>
      <c r="M6" s="3" t="s">
        <v>98</v>
      </c>
    </row>
    <row r="7" spans="1:13">
      <c r="B7" t="s">
        <v>84</v>
      </c>
      <c r="F7" t="s">
        <v>117</v>
      </c>
      <c r="J7" s="7" t="s">
        <v>76</v>
      </c>
      <c r="M7" s="3"/>
    </row>
    <row r="8" spans="1:13">
      <c r="B8" s="5" t="s">
        <v>85</v>
      </c>
      <c r="F8" t="s">
        <v>118</v>
      </c>
    </row>
    <row r="9" spans="1:13">
      <c r="B9" s="11"/>
      <c r="F9" t="s">
        <v>119</v>
      </c>
    </row>
    <row r="10" spans="1:13">
      <c r="B10" s="6" t="s">
        <v>65</v>
      </c>
    </row>
    <row r="11" spans="1:13">
      <c r="B11" s="6" t="s">
        <v>71</v>
      </c>
    </row>
    <row r="12" spans="1:13">
      <c r="B12" s="6" t="s">
        <v>65</v>
      </c>
    </row>
    <row r="13" spans="1:13">
      <c r="B13" s="8" t="s">
        <v>73</v>
      </c>
      <c r="D13" s="7"/>
      <c r="F13" s="8" t="s">
        <v>69</v>
      </c>
      <c r="G13" s="7"/>
      <c r="H13" s="7"/>
      <c r="J13" s="6" t="s">
        <v>67</v>
      </c>
    </row>
    <row r="14" spans="1:13">
      <c r="B14" s="9" t="s">
        <v>68</v>
      </c>
      <c r="F14" s="14" t="s">
        <v>94</v>
      </c>
      <c r="I14" s="3"/>
    </row>
    <row r="15" spans="1:13">
      <c r="B15" s="10" t="s">
        <v>93</v>
      </c>
    </row>
    <row r="16" spans="1:13">
      <c r="B16" s="6" t="s">
        <v>65</v>
      </c>
    </row>
    <row r="17" spans="1:10">
      <c r="B17" s="6" t="s">
        <v>72</v>
      </c>
    </row>
    <row r="18" spans="1:10">
      <c r="B18" s="6" t="s">
        <v>65</v>
      </c>
    </row>
    <row r="19" spans="1:10">
      <c r="B19" s="6" t="s">
        <v>66</v>
      </c>
    </row>
    <row r="20" spans="1:10">
      <c r="B20" s="6" t="s">
        <v>77</v>
      </c>
      <c r="D20" s="13"/>
      <c r="E20" s="7"/>
      <c r="F20" s="7"/>
      <c r="G20" s="7"/>
      <c r="H20" s="7"/>
      <c r="I20" s="12"/>
      <c r="J20" s="12"/>
    </row>
    <row r="21" spans="1:10">
      <c r="B21" s="9" t="s">
        <v>74</v>
      </c>
    </row>
    <row r="22" spans="1:10">
      <c r="B22" s="9" t="s">
        <v>79</v>
      </c>
    </row>
    <row r="23" spans="1:10">
      <c r="B23" s="10" t="s">
        <v>80</v>
      </c>
    </row>
    <row r="24" spans="1:10">
      <c r="B24" s="10" t="s">
        <v>75</v>
      </c>
    </row>
    <row r="25" spans="1:10">
      <c r="A25" s="3" t="s">
        <v>4</v>
      </c>
    </row>
    <row r="26" spans="1:10">
      <c r="A26" s="5" t="s">
        <v>13</v>
      </c>
    </row>
    <row r="27" spans="1:10">
      <c r="A27" s="5" t="s">
        <v>8</v>
      </c>
    </row>
    <row r="28" spans="1:10">
      <c r="A28" s="5" t="s">
        <v>111</v>
      </c>
    </row>
    <row r="29" spans="1:10">
      <c r="A29" s="5" t="s">
        <v>113</v>
      </c>
    </row>
    <row r="30" spans="1:10" s="15" customFormat="1">
      <c r="A30" s="17" t="s">
        <v>116</v>
      </c>
    </row>
    <row r="31" spans="1:10">
      <c r="A31" s="16" t="s">
        <v>112</v>
      </c>
    </row>
    <row r="32" spans="1:10">
      <c r="A32" s="3" t="s">
        <v>58</v>
      </c>
    </row>
    <row r="33" spans="1:13">
      <c r="A33" s="3" t="s">
        <v>114</v>
      </c>
    </row>
    <row r="34" spans="1:13">
      <c r="A34" s="18">
        <v>7</v>
      </c>
    </row>
    <row r="35" spans="1:13">
      <c r="A35" s="3" t="s">
        <v>60</v>
      </c>
      <c r="B35" s="3" t="s">
        <v>89</v>
      </c>
      <c r="C35" s="3" t="s">
        <v>99</v>
      </c>
      <c r="D35" s="3" t="s">
        <v>100</v>
      </c>
    </row>
    <row r="36" spans="1:13">
      <c r="A36" s="23">
        <v>1</v>
      </c>
      <c r="B36" s="23">
        <v>0</v>
      </c>
      <c r="C36" s="23" t="s">
        <v>101</v>
      </c>
      <c r="D36" t="s">
        <v>107</v>
      </c>
      <c r="E36" t="s">
        <v>108</v>
      </c>
      <c r="F36" t="s">
        <v>105</v>
      </c>
      <c r="G36" t="s">
        <v>106</v>
      </c>
    </row>
    <row r="37" spans="1:13">
      <c r="A37" s="23"/>
      <c r="B37" s="23"/>
      <c r="C37" s="23"/>
      <c r="D37">
        <v>4</v>
      </c>
      <c r="E37">
        <v>1</v>
      </c>
      <c r="F37">
        <v>0.01</v>
      </c>
      <c r="G37">
        <v>0.1</v>
      </c>
    </row>
    <row r="38" spans="1:13">
      <c r="A38" s="23">
        <v>2</v>
      </c>
      <c r="B38" s="23">
        <v>10</v>
      </c>
      <c r="C38" s="23" t="s">
        <v>101</v>
      </c>
      <c r="D38" t="s">
        <v>103</v>
      </c>
      <c r="E38" t="s">
        <v>104</v>
      </c>
      <c r="F38" t="s">
        <v>105</v>
      </c>
      <c r="G38" t="s">
        <v>106</v>
      </c>
      <c r="H38" t="s">
        <v>95</v>
      </c>
      <c r="I38" t="s">
        <v>97</v>
      </c>
      <c r="J38" t="s">
        <v>96</v>
      </c>
    </row>
    <row r="39" spans="1:13">
      <c r="A39" s="23"/>
      <c r="B39" s="23"/>
      <c r="C39" s="23"/>
      <c r="D39">
        <v>2.5</v>
      </c>
      <c r="E39">
        <v>1.25</v>
      </c>
      <c r="F39">
        <v>0.03</v>
      </c>
      <c r="G39">
        <v>0.01</v>
      </c>
      <c r="H39">
        <v>5</v>
      </c>
      <c r="I39">
        <v>5</v>
      </c>
      <c r="J39">
        <v>200</v>
      </c>
    </row>
    <row r="40" spans="1:13">
      <c r="A40" s="23">
        <v>3</v>
      </c>
      <c r="B40" s="23">
        <v>10</v>
      </c>
      <c r="C40" s="23" t="s">
        <v>101</v>
      </c>
      <c r="D40" t="s">
        <v>103</v>
      </c>
      <c r="E40" t="s">
        <v>104</v>
      </c>
      <c r="F40" t="s">
        <v>105</v>
      </c>
      <c r="G40" t="s">
        <v>106</v>
      </c>
      <c r="H40" t="s">
        <v>95</v>
      </c>
      <c r="I40" t="s">
        <v>97</v>
      </c>
      <c r="J40" t="s">
        <v>96</v>
      </c>
    </row>
    <row r="41" spans="1:13">
      <c r="A41" s="23"/>
      <c r="B41" s="23"/>
      <c r="C41" s="23"/>
      <c r="D41">
        <v>2.5</v>
      </c>
      <c r="E41">
        <v>1.25</v>
      </c>
      <c r="F41">
        <v>0.03</v>
      </c>
      <c r="G41">
        <v>0.01</v>
      </c>
      <c r="H41">
        <v>5</v>
      </c>
      <c r="I41">
        <v>5</v>
      </c>
      <c r="J41">
        <v>600</v>
      </c>
    </row>
    <row r="42" spans="1:13">
      <c r="A42" s="23">
        <v>4</v>
      </c>
      <c r="B42" s="23">
        <v>20</v>
      </c>
      <c r="C42" s="23" t="s">
        <v>101</v>
      </c>
      <c r="D42" t="s">
        <v>120</v>
      </c>
      <c r="E42" t="s">
        <v>121</v>
      </c>
      <c r="F42" t="s">
        <v>122</v>
      </c>
      <c r="G42" t="s">
        <v>123</v>
      </c>
      <c r="H42" t="s">
        <v>124</v>
      </c>
      <c r="I42" t="s">
        <v>125</v>
      </c>
      <c r="J42" t="s">
        <v>126</v>
      </c>
      <c r="K42" t="s">
        <v>127</v>
      </c>
      <c r="L42" t="s">
        <v>128</v>
      </c>
      <c r="M42" t="s">
        <v>96</v>
      </c>
    </row>
    <row r="43" spans="1:13">
      <c r="A43" s="23"/>
      <c r="B43" s="23"/>
      <c r="C43" s="23"/>
      <c r="D43">
        <v>0.05</v>
      </c>
      <c r="E43">
        <v>0.01</v>
      </c>
      <c r="F43">
        <v>0.02</v>
      </c>
      <c r="G43">
        <v>0.01</v>
      </c>
      <c r="H43">
        <v>2E-3</v>
      </c>
      <c r="I43">
        <v>0.01</v>
      </c>
      <c r="J43">
        <v>0.05</v>
      </c>
      <c r="K43">
        <v>5</v>
      </c>
      <c r="L43">
        <v>300</v>
      </c>
      <c r="M43">
        <v>600</v>
      </c>
    </row>
    <row r="44" spans="1:13">
      <c r="A44" s="23">
        <v>5</v>
      </c>
      <c r="B44" s="23">
        <v>100</v>
      </c>
      <c r="C44" s="23" t="s">
        <v>101</v>
      </c>
    </row>
    <row r="45" spans="1:13">
      <c r="A45" s="23"/>
      <c r="B45" s="23"/>
      <c r="C45" s="23"/>
    </row>
    <row r="46" spans="1:13">
      <c r="A46" s="23">
        <v>6</v>
      </c>
      <c r="B46" s="23">
        <v>100</v>
      </c>
      <c r="C46" s="23" t="s">
        <v>101</v>
      </c>
    </row>
    <row r="47" spans="1:13">
      <c r="A47" s="23"/>
      <c r="B47" s="23"/>
      <c r="C47" s="23"/>
    </row>
    <row r="48" spans="1:13">
      <c r="A48" s="23">
        <v>7</v>
      </c>
      <c r="B48" s="23">
        <v>10</v>
      </c>
      <c r="C48" s="23" t="s">
        <v>101</v>
      </c>
      <c r="D48" t="s">
        <v>103</v>
      </c>
      <c r="E48" t="s">
        <v>104</v>
      </c>
      <c r="F48" t="s">
        <v>105</v>
      </c>
      <c r="G48" t="s">
        <v>106</v>
      </c>
      <c r="H48" t="s">
        <v>95</v>
      </c>
      <c r="I48" t="s">
        <v>97</v>
      </c>
      <c r="J48" t="s">
        <v>96</v>
      </c>
    </row>
    <row r="49" spans="1:10">
      <c r="A49" s="23"/>
      <c r="B49" s="23"/>
      <c r="C49" s="23"/>
      <c r="D49">
        <v>2.5</v>
      </c>
      <c r="E49">
        <v>1.25</v>
      </c>
      <c r="F49">
        <v>0.03</v>
      </c>
      <c r="G49">
        <v>0.01</v>
      </c>
      <c r="H49">
        <v>5</v>
      </c>
      <c r="I49">
        <v>5</v>
      </c>
      <c r="J49">
        <v>600</v>
      </c>
    </row>
  </sheetData>
  <mergeCells count="21">
    <mergeCell ref="A48:A49"/>
    <mergeCell ref="B48:B49"/>
    <mergeCell ref="C48:C49"/>
    <mergeCell ref="A44:A45"/>
    <mergeCell ref="B44:B45"/>
    <mergeCell ref="C44:C45"/>
    <mergeCell ref="A46:A47"/>
    <mergeCell ref="B46:B47"/>
    <mergeCell ref="C46:C47"/>
    <mergeCell ref="A40:A41"/>
    <mergeCell ref="B40:B41"/>
    <mergeCell ref="C40:C41"/>
    <mergeCell ref="A42:A43"/>
    <mergeCell ref="B42:B43"/>
    <mergeCell ref="C42:C43"/>
    <mergeCell ref="A36:A37"/>
    <mergeCell ref="B36:B37"/>
    <mergeCell ref="C36:C37"/>
    <mergeCell ref="A38:A39"/>
    <mergeCell ref="B38:B39"/>
    <mergeCell ref="C38:C39"/>
  </mergeCells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D00B5E-E2E7-41B8-8388-8931D474EA96}">
  <sheetPr codeName="Sheet3"/>
  <dimension ref="A1:G27"/>
  <sheetViews>
    <sheetView workbookViewId="0">
      <selection activeCell="A26" sqref="A26:G27"/>
    </sheetView>
  </sheetViews>
  <sheetFormatPr defaultRowHeight="14.5"/>
  <cols>
    <col min="7" max="7" width="14.26953125" customWidth="1"/>
  </cols>
  <sheetData>
    <row r="1" spans="1:7">
      <c r="A1" s="3" t="s">
        <v>14</v>
      </c>
    </row>
    <row r="2" spans="1:7">
      <c r="A2" s="3" t="s">
        <v>4</v>
      </c>
    </row>
    <row r="3" spans="1:7">
      <c r="A3" s="5" t="s">
        <v>92</v>
      </c>
    </row>
    <row r="4" spans="1:7">
      <c r="A4" s="5" t="s">
        <v>51</v>
      </c>
    </row>
    <row r="5" spans="1:7">
      <c r="A5" s="5" t="s">
        <v>57</v>
      </c>
    </row>
    <row r="6" spans="1:7">
      <c r="A6" s="5" t="s">
        <v>52</v>
      </c>
    </row>
    <row r="7" spans="1:7">
      <c r="A7" t="s">
        <v>29</v>
      </c>
    </row>
    <row r="8" spans="1:7">
      <c r="A8" s="3" t="s">
        <v>15</v>
      </c>
    </row>
    <row r="9" spans="1:7">
      <c r="A9" s="5">
        <v>1</v>
      </c>
    </row>
    <row r="10" spans="1:7">
      <c r="A10" s="3" t="s">
        <v>58</v>
      </c>
    </row>
    <row r="11" spans="1:7">
      <c r="A11" s="3" t="s">
        <v>43</v>
      </c>
      <c r="B11" s="3" t="s">
        <v>44</v>
      </c>
      <c r="C11" s="3" t="s">
        <v>0</v>
      </c>
      <c r="D11" s="3" t="s">
        <v>1</v>
      </c>
      <c r="E11" s="3" t="s">
        <v>2</v>
      </c>
      <c r="F11" s="3" t="s">
        <v>3</v>
      </c>
      <c r="G11" s="3" t="s">
        <v>42</v>
      </c>
    </row>
    <row r="12" spans="1:7">
      <c r="A12" s="19">
        <v>7</v>
      </c>
      <c r="B12" s="19">
        <v>3</v>
      </c>
      <c r="C12" s="19">
        <v>3.0000000000000001E-3</v>
      </c>
      <c r="D12" s="19">
        <v>3.7999999999999999E-2</v>
      </c>
      <c r="E12" s="1">
        <v>1.0000000000000001E-9</v>
      </c>
      <c r="F12" s="19">
        <v>0</v>
      </c>
      <c r="G12" s="19">
        <v>1</v>
      </c>
    </row>
    <row r="13" spans="1:7">
      <c r="A13" s="19">
        <v>2</v>
      </c>
      <c r="B13" s="19">
        <v>3</v>
      </c>
      <c r="C13" s="19">
        <v>5.0000000000000001E-3</v>
      </c>
      <c r="D13" s="19">
        <v>7.5999999999999998E-2</v>
      </c>
      <c r="E13" s="1">
        <v>1.0000000000000001E-9</v>
      </c>
      <c r="F13" s="19">
        <v>0</v>
      </c>
      <c r="G13" s="19">
        <v>1</v>
      </c>
    </row>
    <row r="14" spans="1:7">
      <c r="A14" s="19">
        <v>4</v>
      </c>
      <c r="B14" s="19">
        <v>6</v>
      </c>
      <c r="C14" s="19">
        <v>2.8999999999999998E-3</v>
      </c>
      <c r="D14" s="19">
        <v>7.3400000000000007E-2</v>
      </c>
      <c r="E14" s="1">
        <v>1.0000000000000001E-9</v>
      </c>
      <c r="F14" s="19">
        <v>0</v>
      </c>
      <c r="G14" s="19">
        <v>1</v>
      </c>
    </row>
    <row r="15" spans="1:7">
      <c r="A15" s="19">
        <v>5</v>
      </c>
      <c r="B15" s="19">
        <v>7</v>
      </c>
      <c r="C15" s="19">
        <v>1.9E-2</v>
      </c>
      <c r="D15" s="19">
        <v>0.245</v>
      </c>
      <c r="E15" s="1">
        <v>1.0000000000000001E-9</v>
      </c>
      <c r="F15" s="19">
        <v>0</v>
      </c>
      <c r="G15" s="19">
        <v>1</v>
      </c>
    </row>
    <row r="16" spans="1:7">
      <c r="A16" s="19">
        <v>5</v>
      </c>
      <c r="B16" s="19">
        <v>2</v>
      </c>
      <c r="C16" s="19">
        <v>1.4999999999999999E-2</v>
      </c>
      <c r="D16" s="19">
        <v>0.22500000000000001</v>
      </c>
      <c r="E16" s="1">
        <v>1.0000000000000001E-9</v>
      </c>
      <c r="F16" s="19">
        <v>0</v>
      </c>
      <c r="G16" s="19">
        <v>1</v>
      </c>
    </row>
    <row r="17" spans="1:7">
      <c r="A17" s="19">
        <v>6</v>
      </c>
      <c r="B17" s="19">
        <v>5</v>
      </c>
      <c r="C17" s="19">
        <v>0</v>
      </c>
      <c r="D17" s="19">
        <v>3.9E-2</v>
      </c>
      <c r="E17" s="1">
        <v>1.0000000000000001E-9</v>
      </c>
      <c r="F17" s="19">
        <v>0</v>
      </c>
      <c r="G17" s="19">
        <v>1</v>
      </c>
    </row>
    <row r="18" spans="1:7">
      <c r="A18" s="19">
        <v>1</v>
      </c>
      <c r="B18" s="19">
        <v>6</v>
      </c>
      <c r="C18" s="19">
        <v>4.0000000000000001E-3</v>
      </c>
      <c r="D18" s="19">
        <v>5.7000000000000002E-2</v>
      </c>
      <c r="E18" s="1">
        <v>1.0000000000000001E-9</v>
      </c>
      <c r="F18" s="19">
        <v>0</v>
      </c>
      <c r="G18" s="19">
        <v>1</v>
      </c>
    </row>
    <row r="19" spans="1:7">
      <c r="A19" s="19">
        <v>1</v>
      </c>
      <c r="B19" s="19">
        <v>1</v>
      </c>
      <c r="C19" s="19" t="s">
        <v>129</v>
      </c>
      <c r="D19" s="19" t="s">
        <v>129</v>
      </c>
      <c r="E19" s="21">
        <v>4.2000000000000003E-2</v>
      </c>
      <c r="F19" s="21">
        <v>0</v>
      </c>
      <c r="G19" s="19">
        <v>1</v>
      </c>
    </row>
    <row r="20" spans="1:7">
      <c r="A20" s="19">
        <v>2</v>
      </c>
      <c r="B20" s="19">
        <v>2</v>
      </c>
      <c r="C20" s="19" t="s">
        <v>129</v>
      </c>
      <c r="D20" s="19" t="s">
        <v>129</v>
      </c>
      <c r="E20" s="21">
        <v>0.14910000000000001</v>
      </c>
      <c r="F20" s="19">
        <v>0</v>
      </c>
      <c r="G20" s="19">
        <v>1</v>
      </c>
    </row>
    <row r="21" spans="1:7">
      <c r="A21" s="19">
        <v>3</v>
      </c>
      <c r="B21" s="19">
        <v>3</v>
      </c>
      <c r="C21" s="19" t="s">
        <v>129</v>
      </c>
      <c r="D21" s="19" t="s">
        <v>129</v>
      </c>
      <c r="E21" s="21">
        <v>0.1142</v>
      </c>
      <c r="F21" s="21">
        <v>0</v>
      </c>
      <c r="G21" s="19">
        <v>1</v>
      </c>
    </row>
    <row r="22" spans="1:7">
      <c r="A22" s="19">
        <v>4</v>
      </c>
      <c r="B22" s="19">
        <v>4</v>
      </c>
      <c r="C22" s="19" t="s">
        <v>129</v>
      </c>
      <c r="D22" s="19" t="s">
        <v>129</v>
      </c>
      <c r="E22" s="21">
        <v>3.6799999999999999E-2</v>
      </c>
      <c r="F22" s="19">
        <v>0</v>
      </c>
      <c r="G22" s="19">
        <v>1</v>
      </c>
    </row>
    <row r="23" spans="1:7">
      <c r="A23" s="19">
        <v>5</v>
      </c>
      <c r="B23" s="19">
        <v>5</v>
      </c>
      <c r="C23" s="19" t="s">
        <v>129</v>
      </c>
      <c r="D23" s="19" t="s">
        <v>129</v>
      </c>
      <c r="E23" s="21">
        <v>3.3000000000000002E-2</v>
      </c>
      <c r="F23" s="21">
        <v>0</v>
      </c>
      <c r="G23" s="19">
        <v>1</v>
      </c>
    </row>
    <row r="24" spans="1:7">
      <c r="A24" s="19">
        <v>6</v>
      </c>
      <c r="B24" s="19">
        <v>6</v>
      </c>
      <c r="C24" s="19" t="s">
        <v>129</v>
      </c>
      <c r="D24" s="19" t="s">
        <v>129</v>
      </c>
      <c r="E24" s="21">
        <v>2.1419999999999999</v>
      </c>
      <c r="F24" s="19">
        <v>0</v>
      </c>
      <c r="G24" s="19">
        <v>1</v>
      </c>
    </row>
    <row r="25" spans="1:7">
      <c r="A25" s="19">
        <v>7</v>
      </c>
      <c r="B25" s="19">
        <v>7</v>
      </c>
      <c r="C25" s="19" t="s">
        <v>129</v>
      </c>
      <c r="D25" s="19" t="s">
        <v>129</v>
      </c>
      <c r="E25" s="21">
        <v>0.1792</v>
      </c>
      <c r="F25" s="21">
        <v>0</v>
      </c>
      <c r="G25" s="19">
        <v>1</v>
      </c>
    </row>
    <row r="26" spans="1:7">
      <c r="A26" s="22"/>
      <c r="B26" s="22"/>
      <c r="C26" s="22"/>
      <c r="D26" s="22"/>
      <c r="E26" s="1"/>
      <c r="F26" s="22"/>
      <c r="G26" s="22"/>
    </row>
    <row r="27" spans="1:7">
      <c r="C27" s="22"/>
      <c r="D27" s="22"/>
      <c r="E27" s="21"/>
      <c r="F27" s="21"/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0C2B6E-74BD-40FA-8EB6-D64D8C21837A}">
  <sheetPr codeName="Sheet4"/>
  <dimension ref="A1:G18"/>
  <sheetViews>
    <sheetView workbookViewId="0">
      <selection activeCell="G18" sqref="A11:G18"/>
    </sheetView>
  </sheetViews>
  <sheetFormatPr defaultRowHeight="14.5"/>
  <cols>
    <col min="1" max="1" width="10" customWidth="1"/>
    <col min="7" max="7" width="14.81640625" customWidth="1"/>
  </cols>
  <sheetData>
    <row r="1" spans="1:7">
      <c r="A1" s="3" t="s">
        <v>6</v>
      </c>
    </row>
    <row r="2" spans="1:7">
      <c r="A2" s="3" t="s">
        <v>4</v>
      </c>
    </row>
    <row r="3" spans="1:7">
      <c r="A3" s="5" t="s">
        <v>91</v>
      </c>
    </row>
    <row r="4" spans="1:7">
      <c r="A4" s="5" t="s">
        <v>53</v>
      </c>
    </row>
    <row r="5" spans="1:7">
      <c r="A5" s="5" t="s">
        <v>5</v>
      </c>
    </row>
    <row r="6" spans="1:7">
      <c r="A6" s="5" t="s">
        <v>12</v>
      </c>
    </row>
    <row r="7" spans="1:7">
      <c r="A7" s="5" t="s">
        <v>11</v>
      </c>
    </row>
    <row r="8" spans="1:7">
      <c r="A8" s="5" t="s">
        <v>86</v>
      </c>
    </row>
    <row r="9" spans="1:7">
      <c r="A9" s="3" t="s">
        <v>58</v>
      </c>
    </row>
    <row r="10" spans="1:7">
      <c r="A10" s="3" t="s">
        <v>43</v>
      </c>
      <c r="B10" s="3" t="s">
        <v>44</v>
      </c>
      <c r="C10" s="3" t="s">
        <v>0</v>
      </c>
      <c r="D10" s="3" t="s">
        <v>1</v>
      </c>
      <c r="E10" s="3" t="s">
        <v>2</v>
      </c>
      <c r="F10" s="3" t="s">
        <v>3</v>
      </c>
      <c r="G10" s="3" t="s">
        <v>42</v>
      </c>
    </row>
    <row r="15" spans="1:7">
      <c r="E15" s="1"/>
    </row>
    <row r="16" spans="1:7">
      <c r="E16" s="1"/>
    </row>
    <row r="17" spans="5:5">
      <c r="E17" s="1"/>
    </row>
    <row r="18" spans="5:5">
      <c r="E18" s="1"/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B93A31-1E5A-4104-8C10-8E6599437516}">
  <sheetPr codeName="Sheet5"/>
  <dimension ref="A1:B6"/>
  <sheetViews>
    <sheetView workbookViewId="0">
      <selection activeCell="C18" sqref="C18"/>
    </sheetView>
  </sheetViews>
  <sheetFormatPr defaultRowHeight="14.5"/>
  <cols>
    <col min="1" max="1" width="22" customWidth="1"/>
    <col min="2" max="2" width="18.54296875" customWidth="1"/>
    <col min="3" max="3" width="15" customWidth="1"/>
    <col min="4" max="4" width="15.7265625" customWidth="1"/>
  </cols>
  <sheetData>
    <row r="1" spans="1:2">
      <c r="A1" s="3" t="s">
        <v>18</v>
      </c>
    </row>
    <row r="2" spans="1:2">
      <c r="A2" s="3" t="s">
        <v>58</v>
      </c>
    </row>
    <row r="3" spans="1:2">
      <c r="A3" s="5" t="s">
        <v>9</v>
      </c>
      <c r="B3" s="1">
        <f>B4*1000/2</f>
        <v>30000</v>
      </c>
    </row>
    <row r="4" spans="1:2">
      <c r="A4" t="s">
        <v>39</v>
      </c>
      <c r="B4" s="2">
        <v>60</v>
      </c>
    </row>
    <row r="5" spans="1:2">
      <c r="A5" t="s">
        <v>40</v>
      </c>
      <c r="B5" s="1">
        <v>1000000000</v>
      </c>
    </row>
    <row r="6" spans="1:2">
      <c r="A6" t="s">
        <v>41</v>
      </c>
      <c r="B6">
        <v>1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FCB373-2341-40B6-A375-7BA50357479A}">
  <sheetPr codeName="Sheet6"/>
  <dimension ref="A1:D15"/>
  <sheetViews>
    <sheetView workbookViewId="0">
      <selection activeCell="F12" sqref="F12"/>
    </sheetView>
  </sheetViews>
  <sheetFormatPr defaultRowHeight="14.5"/>
  <cols>
    <col min="1" max="1" width="30.1796875" customWidth="1"/>
  </cols>
  <sheetData>
    <row r="1" spans="1:4">
      <c r="A1" s="3" t="s">
        <v>28</v>
      </c>
    </row>
    <row r="2" spans="1:4">
      <c r="A2" s="3" t="s">
        <v>81</v>
      </c>
    </row>
    <row r="3" spans="1:4">
      <c r="A3" s="5" t="s">
        <v>83</v>
      </c>
    </row>
    <row r="4" spans="1:4">
      <c r="A4" s="3" t="s">
        <v>58</v>
      </c>
    </row>
    <row r="5" spans="1:4">
      <c r="A5" s="3" t="s">
        <v>47</v>
      </c>
      <c r="B5" s="3" t="s">
        <v>48</v>
      </c>
      <c r="C5" s="3"/>
      <c r="D5" s="3" t="s">
        <v>49</v>
      </c>
    </row>
    <row r="6" spans="1:4">
      <c r="A6" t="s">
        <v>35</v>
      </c>
      <c r="B6">
        <v>2</v>
      </c>
      <c r="D6" t="s">
        <v>50</v>
      </c>
    </row>
    <row r="7" spans="1:4">
      <c r="A7" t="s">
        <v>36</v>
      </c>
      <c r="B7">
        <v>1</v>
      </c>
      <c r="D7" t="s">
        <v>16</v>
      </c>
    </row>
    <row r="8" spans="1:4">
      <c r="A8" t="s">
        <v>34</v>
      </c>
      <c r="B8">
        <v>1</v>
      </c>
      <c r="D8" t="s">
        <v>17</v>
      </c>
    </row>
    <row r="9" spans="1:4">
      <c r="A9" t="s">
        <v>37</v>
      </c>
      <c r="B9">
        <v>0</v>
      </c>
      <c r="D9" t="s">
        <v>26</v>
      </c>
    </row>
    <row r="10" spans="1:4">
      <c r="A10" t="s">
        <v>38</v>
      </c>
      <c r="B10">
        <v>1</v>
      </c>
      <c r="D10" t="s">
        <v>82</v>
      </c>
    </row>
    <row r="11" spans="1:4">
      <c r="A11" t="s">
        <v>30</v>
      </c>
      <c r="B11">
        <v>0</v>
      </c>
      <c r="D11" t="s">
        <v>27</v>
      </c>
    </row>
    <row r="12" spans="1:4">
      <c r="A12" t="s">
        <v>31</v>
      </c>
      <c r="B12">
        <v>1</v>
      </c>
      <c r="D12" t="s">
        <v>27</v>
      </c>
    </row>
    <row r="13" spans="1:4">
      <c r="A13" t="s">
        <v>32</v>
      </c>
      <c r="B13">
        <v>0</v>
      </c>
      <c r="D13" t="s">
        <v>27</v>
      </c>
    </row>
    <row r="14" spans="1:4">
      <c r="A14" t="s">
        <v>33</v>
      </c>
      <c r="B14">
        <v>1</v>
      </c>
      <c r="D14" t="s">
        <v>27</v>
      </c>
    </row>
    <row r="15" spans="1:4">
      <c r="A15" t="s">
        <v>55</v>
      </c>
      <c r="B15">
        <v>0</v>
      </c>
      <c r="D15" t="s">
        <v>56</v>
      </c>
    </row>
  </sheetData>
  <phoneticPr fontId="1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Bus</vt:lpstr>
      <vt:lpstr>Apparatus</vt:lpstr>
      <vt:lpstr>NetworkLine_IEEE</vt:lpstr>
      <vt:lpstr>NetworkLine</vt:lpstr>
      <vt:lpstr>Basic</vt:lpstr>
      <vt:lpstr>Advance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admin_user</dc:creator>
  <cp:lastModifiedBy>Yue Zhu</cp:lastModifiedBy>
  <dcterms:created xsi:type="dcterms:W3CDTF">2015-06-05T18:17:20Z</dcterms:created>
  <dcterms:modified xsi:type="dcterms:W3CDTF">2022-11-23T23:59:21Z</dcterms:modified>
</cp:coreProperties>
</file>